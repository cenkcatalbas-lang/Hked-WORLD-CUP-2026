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enk\Downloads\"/>
    </mc:Choice>
  </mc:AlternateContent>
  <xr:revisionPtr revIDLastSave="0" documentId="8_{2443AB92-BBAF-4DAE-AE00-F7FF7BCBBE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<sst xmlns="http://schemas.openxmlformats.org/spreadsheetml/2006/main" count="223" uniqueCount="57">
  <si>
    <t>TAKIM - 1</t>
  </si>
  <si>
    <t>TAKIM - 2</t>
  </si>
  <si>
    <t>Paraguay</t>
  </si>
  <si>
    <t>Haiti</t>
  </si>
  <si>
    <t>Curaçao</t>
  </si>
  <si>
    <t>Uruguay</t>
  </si>
  <si>
    <t>Senegal</t>
  </si>
  <si>
    <t>Panama</t>
  </si>
  <si>
    <t>TOLGA</t>
  </si>
  <si>
    <t>MUSTAFA</t>
  </si>
  <si>
    <t>IŞITAN</t>
  </si>
  <si>
    <t>1</t>
  </si>
  <si>
    <t>2</t>
  </si>
  <si>
    <t xml:space="preserve">YİĞİT </t>
  </si>
  <si>
    <t>CENK</t>
  </si>
  <si>
    <t>Mexico</t>
  </si>
  <si>
    <t>South Korea</t>
  </si>
  <si>
    <t>Canada</t>
  </si>
  <si>
    <t>USA</t>
  </si>
  <si>
    <t>Qatar</t>
  </si>
  <si>
    <t>Brazil</t>
  </si>
  <si>
    <t>Australia</t>
  </si>
  <si>
    <t>Germany</t>
  </si>
  <si>
    <t>Netherlands</t>
  </si>
  <si>
    <t>Ivory Coast</t>
  </si>
  <si>
    <t>Sweden</t>
  </si>
  <si>
    <t>Spain</t>
  </si>
  <si>
    <t>Belgium</t>
  </si>
  <si>
    <t>Saudi Arabia</t>
  </si>
  <si>
    <t>Iran</t>
  </si>
  <si>
    <t>France</t>
  </si>
  <si>
    <t>Iraq</t>
  </si>
  <si>
    <t>Argentina</t>
  </si>
  <si>
    <t>Austria</t>
  </si>
  <si>
    <t>Portugal</t>
  </si>
  <si>
    <t>England</t>
  </si>
  <si>
    <t>Ghana</t>
  </si>
  <si>
    <t>Uzbekistan</t>
  </si>
  <si>
    <t>Czech Republic</t>
  </si>
  <si>
    <t>Switzerland</t>
  </si>
  <si>
    <t>Scotland</t>
  </si>
  <si>
    <t>Turkey</t>
  </si>
  <si>
    <t>Ecuador</t>
  </si>
  <si>
    <t>Tunisia</t>
  </si>
  <si>
    <t>New Zealand</t>
  </si>
  <si>
    <t>Norway</t>
  </si>
  <si>
    <t>Jordan</t>
  </si>
  <si>
    <t>Colombia</t>
  </si>
  <si>
    <t>Bosnia and Herzegovina</t>
  </si>
  <si>
    <t>Morocco</t>
  </si>
  <si>
    <t>South Africa</t>
  </si>
  <si>
    <t>Japan</t>
  </si>
  <si>
    <t>Cape Verde</t>
  </si>
  <si>
    <t>Egypt</t>
  </si>
  <si>
    <t>Croatia</t>
  </si>
  <si>
    <t>Democratic Republic of the Congo</t>
  </si>
  <si>
    <t>Algeria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</si>
</sst>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.5"/>
      <name val="Arial"/>
      <family val="2"/>
      <charset val="162"/>
    </font>
    <font>
      <sz val="10.5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4" fontId="2" fillId="2" borderId="5" xfId="0" applyNumberFormat="1" applyFont="1" applyFill="1" applyBorder="1" applyAlignment="1">
      <alignment horizontal="right"/>
    </xf>
    <xf numFmtId="4" fontId="2" fillId="2" borderId="6" xfId="0" applyNumberFormat="1" applyFont="1" applyFill="1" applyBorder="1" applyAlignment="1">
      <alignment horizontal="right"/>
    </xf>
    <xf numFmtId="1" fontId="1" fillId="3" borderId="4" xfId="0" applyNumberFormat="1" applyFont="1" applyFill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left"/>
    </xf>
    <xf numFmtId="4" fontId="2" fillId="2" borderId="7" xfId="0" applyNumberFormat="1" applyFont="1" applyFill="1" applyBorder="1" applyAlignment="1">
      <alignment horizontal="right"/>
    </xf>
    <xf numFmtId="4" fontId="2" fillId="2" borderId="8" xfId="0" applyNumberFormat="1" applyFont="1" applyFill="1" applyBorder="1" applyAlignment="1">
      <alignment horizontal="right"/>
    </xf>
    <xf numFmtId="1" fontId="1" fillId="2" borderId="0" xfId="0" applyNumberFormat="1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1">
    <dxf>
      <font>
        <b/>
        <i val="0"/>
        <condense val="0"/>
        <extend val="0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topLeftCell="C1" workbookViewId="0">
      <selection activeCell="D15" sqref="D15"/>
    </sheetView>
  </sheetViews>
  <sheetFormatPr defaultRowHeight="14.4" x14ac:dyDescent="0.3"/>
  <cols>
    <col min="1" max="1" width="19" hidden="1" customWidth="1"/>
    <col min="2" max="2" width="21.21875" hidden="1" customWidth="1"/>
    <col min="3" max="3" width="42.109375" customWidth="1"/>
    <col min="7" max="7" width="9.6640625" customWidth="1"/>
    <col min="8" max="8" width="11.6640625" customWidth="1"/>
    <col min="9" max="9" width="11.77734375" customWidth="1"/>
  </cols>
  <sheetData>
    <row r="1" spans="1:11" ht="16.2" thickTop="1" x14ac:dyDescent="0.3">
      <c r="A1" s="1" t="s">
        <v>0</v>
      </c>
      <c r="B1" s="2" t="s">
        <v>1</v>
      </c>
      <c r="C1" s="2"/>
      <c r="D1" s="3">
        <v>1</v>
      </c>
      <c r="E1" s="3">
        <v>0</v>
      </c>
      <c r="F1" s="4">
        <v>2</v>
      </c>
      <c r="G1" s="5" t="s">
        <v>8</v>
      </c>
      <c r="H1" s="14" t="s">
        <v>9</v>
      </c>
      <c r="I1" s="13" t="s">
        <v>10</v>
      </c>
      <c r="J1" s="13" t="s">
        <v>13</v>
      </c>
      <c r="K1" s="13" t="s">
        <v>14</v>
      </c>
    </row>
    <row r="2" spans="1:11" x14ac:dyDescent="0.3">
      <c r="A2" t="s">
        <v>15</v>
      </c>
      <c r="B2" t="s">
        <v>50</v>
      </c>
      <c r="C2" t="str">
        <f>_xlfn.TEXTJOIN("-", TRUE, A2:B2)</f>
        <v>Mexico-South Africa</v>
      </c>
      <c r="D2" s="6">
        <v>1.44</v>
      </c>
      <c r="E2" s="6">
        <v>4.45</v>
      </c>
      <c r="F2" s="7">
        <v>8.5</v>
      </c>
      <c r="G2" s="8">
        <v>1</v>
      </c>
      <c r="H2" s="8">
        <v>1</v>
      </c>
      <c r="I2" s="8">
        <v>1</v>
      </c>
      <c r="J2" s="8" t="s">
        <v>11</v>
      </c>
      <c r="K2" s="8">
        <v>0</v>
      </c>
    </row>
    <row r="3" spans="1:11" x14ac:dyDescent="0.3">
      <c r="A3" t="s">
        <v>16</v>
      </c>
      <c r="B3" t="s">
        <v>38</v>
      </c>
      <c r="C3" t="str">
        <f t="shared" ref="C3:C66" si="0">_xlfn.TEXTJOIN("-", TRUE, A3:B3)</f>
        <v>South Korea-Czech Republic</v>
      </c>
      <c r="D3" s="6">
        <v>2.68</v>
      </c>
      <c r="E3" s="6">
        <v>3.2</v>
      </c>
      <c r="F3" s="7">
        <v>2.88</v>
      </c>
      <c r="G3" s="8">
        <v>1</v>
      </c>
      <c r="H3" s="8">
        <v>0</v>
      </c>
      <c r="I3" s="8">
        <v>1</v>
      </c>
      <c r="J3" s="8" t="s">
        <v>11</v>
      </c>
      <c r="K3" s="8">
        <v>0</v>
      </c>
    </row>
    <row r="4" spans="1:11" x14ac:dyDescent="0.3">
      <c r="A4" t="s">
        <v>17</v>
      </c>
      <c r="B4" t="s">
        <v>48</v>
      </c>
      <c r="C4" t="str">
        <f t="shared" si="0"/>
        <v>Canada-Bosnia and Herzegovina</v>
      </c>
      <c r="D4" s="6">
        <v>1.85</v>
      </c>
      <c r="E4" s="6">
        <v>3.7</v>
      </c>
      <c r="F4" s="7">
        <v>4.5</v>
      </c>
      <c r="G4" s="8">
        <v>1</v>
      </c>
      <c r="H4" s="8">
        <v>2</v>
      </c>
      <c r="I4" s="8">
        <v>2</v>
      </c>
      <c r="J4" s="8" t="s">
        <v>11</v>
      </c>
      <c r="K4" s="8">
        <v>1</v>
      </c>
    </row>
    <row r="5" spans="1:11" x14ac:dyDescent="0.3">
      <c r="A5" t="s">
        <v>18</v>
      </c>
      <c r="B5" t="s">
        <v>2</v>
      </c>
      <c r="C5" t="str">
        <f t="shared" si="0"/>
        <v>USA-Paraguay</v>
      </c>
      <c r="D5" s="6">
        <v>2</v>
      </c>
      <c r="E5" s="6">
        <v>3.5</v>
      </c>
      <c r="F5" s="7">
        <v>4</v>
      </c>
      <c r="G5" s="8">
        <v>0</v>
      </c>
      <c r="H5" s="8">
        <v>1</v>
      </c>
      <c r="I5" s="8">
        <v>0</v>
      </c>
      <c r="J5" s="8" t="s">
        <v>11</v>
      </c>
      <c r="K5" s="8">
        <v>1</v>
      </c>
    </row>
    <row r="6" spans="1:11" x14ac:dyDescent="0.3">
      <c r="A6" t="s">
        <v>19</v>
      </c>
      <c r="B6" t="s">
        <v>39</v>
      </c>
      <c r="C6" t="str">
        <f t="shared" si="0"/>
        <v>Qatar-Switzerland</v>
      </c>
      <c r="D6" s="6">
        <v>13</v>
      </c>
      <c r="E6" s="6">
        <v>6.2</v>
      </c>
      <c r="F6" s="7">
        <v>1.26</v>
      </c>
      <c r="G6" s="8">
        <v>2</v>
      </c>
      <c r="H6" s="8">
        <v>2</v>
      </c>
      <c r="I6" s="8">
        <v>2</v>
      </c>
      <c r="J6" s="8" t="s">
        <v>12</v>
      </c>
      <c r="K6" s="8">
        <v>2</v>
      </c>
    </row>
    <row r="7" spans="1:11" x14ac:dyDescent="0.3">
      <c r="A7" t="s">
        <v>20</v>
      </c>
      <c r="B7" t="s">
        <v>49</v>
      </c>
      <c r="C7" t="str">
        <f t="shared" si="0"/>
        <v>Brazil-Morocco</v>
      </c>
      <c r="D7" s="6">
        <v>1.62</v>
      </c>
      <c r="E7" s="6">
        <v>3.9</v>
      </c>
      <c r="F7" s="7">
        <v>6.1</v>
      </c>
      <c r="G7" s="8">
        <v>0</v>
      </c>
      <c r="H7" s="8">
        <v>1</v>
      </c>
      <c r="I7" s="8">
        <v>1</v>
      </c>
      <c r="J7" s="8" t="s">
        <v>11</v>
      </c>
      <c r="K7" s="8">
        <v>1</v>
      </c>
    </row>
    <row r="8" spans="1:11" x14ac:dyDescent="0.3">
      <c r="A8" t="s">
        <v>3</v>
      </c>
      <c r="B8" t="s">
        <v>40</v>
      </c>
      <c r="C8" t="str">
        <f t="shared" si="0"/>
        <v>Haiti-Scotland</v>
      </c>
      <c r="D8" s="6">
        <v>7.5</v>
      </c>
      <c r="E8" s="6">
        <v>4.45</v>
      </c>
      <c r="F8" s="7">
        <v>1.47</v>
      </c>
      <c r="G8" s="8">
        <v>2</v>
      </c>
      <c r="H8" s="8">
        <v>2</v>
      </c>
      <c r="I8" s="8">
        <v>2</v>
      </c>
      <c r="J8" s="8" t="s">
        <v>12</v>
      </c>
      <c r="K8" s="8">
        <v>0</v>
      </c>
    </row>
    <row r="9" spans="1:11" x14ac:dyDescent="0.3">
      <c r="A9" t="s">
        <v>21</v>
      </c>
      <c r="B9" t="s">
        <v>41</v>
      </c>
      <c r="C9" t="str">
        <f t="shared" si="0"/>
        <v>Australia-Turkey</v>
      </c>
      <c r="D9" s="6">
        <v>4.7</v>
      </c>
      <c r="E9" s="6">
        <v>3.7</v>
      </c>
      <c r="F9" s="7">
        <v>1.8</v>
      </c>
      <c r="G9" s="8">
        <v>2</v>
      </c>
      <c r="H9" s="8">
        <v>2</v>
      </c>
      <c r="I9" s="8">
        <v>0</v>
      </c>
      <c r="J9" s="8" t="s">
        <v>12</v>
      </c>
      <c r="K9" s="8">
        <v>2</v>
      </c>
    </row>
    <row r="10" spans="1:11" x14ac:dyDescent="0.3">
      <c r="A10" t="s">
        <v>22</v>
      </c>
      <c r="B10" t="s">
        <v>4</v>
      </c>
      <c r="C10" t="str">
        <f t="shared" si="0"/>
        <v>Germany-Curaçao</v>
      </c>
      <c r="D10" s="6">
        <v>1.05</v>
      </c>
      <c r="E10" s="6">
        <v>15</v>
      </c>
      <c r="F10" s="7">
        <v>95</v>
      </c>
      <c r="G10" s="8">
        <v>1</v>
      </c>
      <c r="H10" s="8">
        <v>2</v>
      </c>
      <c r="I10" s="8">
        <v>1</v>
      </c>
      <c r="J10" s="8" t="s">
        <v>11</v>
      </c>
      <c r="K10" s="8">
        <v>1</v>
      </c>
    </row>
    <row r="11" spans="1:11" x14ac:dyDescent="0.3">
      <c r="A11" t="s">
        <v>23</v>
      </c>
      <c r="B11" t="s">
        <v>51</v>
      </c>
      <c r="C11" t="str">
        <f t="shared" si="0"/>
        <v>Netherlands-Japan</v>
      </c>
      <c r="D11" s="6">
        <v>2</v>
      </c>
      <c r="E11" s="6">
        <v>3.65</v>
      </c>
      <c r="F11" s="7">
        <v>3.85</v>
      </c>
      <c r="G11" s="8">
        <v>0</v>
      </c>
      <c r="H11" s="8">
        <v>1</v>
      </c>
      <c r="I11" s="8">
        <v>2</v>
      </c>
      <c r="J11" s="8" t="s">
        <v>11</v>
      </c>
      <c r="K11" s="8">
        <v>1</v>
      </c>
    </row>
    <row r="12" spans="1:11" x14ac:dyDescent="0.3">
      <c r="A12" t="s">
        <v>24</v>
      </c>
      <c r="B12" t="s">
        <v>42</v>
      </c>
      <c r="C12" t="str">
        <f t="shared" si="0"/>
        <v>Ivory Coast-Ecuador</v>
      </c>
      <c r="D12" s="6">
        <v>3.75</v>
      </c>
      <c r="E12" s="6">
        <v>2.8</v>
      </c>
      <c r="F12" s="7">
        <v>2.42</v>
      </c>
      <c r="G12" s="8">
        <v>0</v>
      </c>
      <c r="H12" s="8">
        <v>1</v>
      </c>
      <c r="I12" s="8">
        <v>0</v>
      </c>
      <c r="J12" s="8" t="s">
        <v>12</v>
      </c>
      <c r="K12" s="8">
        <v>0</v>
      </c>
    </row>
    <row r="13" spans="1:11" x14ac:dyDescent="0.3">
      <c r="A13" t="s">
        <v>25</v>
      </c>
      <c r="B13" t="s">
        <v>43</v>
      </c>
      <c r="C13" t="str">
        <f t="shared" si="0"/>
        <v>Sweden-Tunisia</v>
      </c>
      <c r="D13" s="6">
        <v>2</v>
      </c>
      <c r="E13" s="6">
        <v>3.4</v>
      </c>
      <c r="F13" s="7">
        <v>4.05</v>
      </c>
      <c r="G13" s="8">
        <v>0</v>
      </c>
      <c r="H13" s="8">
        <v>1</v>
      </c>
      <c r="I13" s="8">
        <v>1</v>
      </c>
      <c r="J13" s="8" t="s">
        <v>11</v>
      </c>
      <c r="K13" s="8">
        <v>1</v>
      </c>
    </row>
    <row r="14" spans="1:11" x14ac:dyDescent="0.3">
      <c r="A14" t="s">
        <v>26</v>
      </c>
      <c r="B14" t="s">
        <v>52</v>
      </c>
      <c r="C14" t="str">
        <f t="shared" si="0"/>
        <v>Spain-Cape Verde</v>
      </c>
      <c r="D14" s="6">
        <v>1.1100000000000001</v>
      </c>
      <c r="E14" s="6">
        <v>9.3000000000000007</v>
      </c>
      <c r="F14" s="7">
        <v>41</v>
      </c>
      <c r="G14" s="8">
        <v>1</v>
      </c>
      <c r="H14" s="8">
        <v>1</v>
      </c>
      <c r="I14" s="8">
        <v>1</v>
      </c>
      <c r="J14" s="8" t="s">
        <v>11</v>
      </c>
      <c r="K14" s="8">
        <v>1</v>
      </c>
    </row>
    <row r="15" spans="1:11" x14ac:dyDescent="0.3">
      <c r="A15" t="s">
        <v>27</v>
      </c>
      <c r="B15" t="s">
        <v>53</v>
      </c>
      <c r="C15" t="str">
        <f t="shared" si="0"/>
        <v>Belgium-Egypt</v>
      </c>
      <c r="D15" s="6">
        <v>1.65</v>
      </c>
      <c r="E15" s="6">
        <v>4.05</v>
      </c>
      <c r="F15" s="7">
        <v>5.35</v>
      </c>
      <c r="G15" s="8">
        <v>1</v>
      </c>
      <c r="H15" s="8">
        <v>2</v>
      </c>
      <c r="I15" s="8">
        <v>1</v>
      </c>
      <c r="J15" s="8" t="s">
        <v>11</v>
      </c>
      <c r="K15" s="8">
        <v>1</v>
      </c>
    </row>
    <row r="16" spans="1:11" x14ac:dyDescent="0.3">
      <c r="A16" t="s">
        <v>28</v>
      </c>
      <c r="B16" t="s">
        <v>5</v>
      </c>
      <c r="C16" t="str">
        <f t="shared" si="0"/>
        <v>Saudi Arabia-Uruguay</v>
      </c>
      <c r="D16" s="6">
        <v>7.5</v>
      </c>
      <c r="E16" s="6">
        <v>4.3499999999999996</v>
      </c>
      <c r="F16" s="7">
        <v>1.48</v>
      </c>
      <c r="G16" s="8">
        <v>0</v>
      </c>
      <c r="H16" s="8">
        <v>2</v>
      </c>
      <c r="I16" s="8">
        <v>2</v>
      </c>
      <c r="J16" s="8" t="s">
        <v>12</v>
      </c>
      <c r="K16" s="8">
        <v>0</v>
      </c>
    </row>
    <row r="17" spans="1:11" x14ac:dyDescent="0.3">
      <c r="A17" t="s">
        <v>29</v>
      </c>
      <c r="B17" t="s">
        <v>44</v>
      </c>
      <c r="C17" t="str">
        <f t="shared" si="0"/>
        <v>Iran-New Zealand</v>
      </c>
      <c r="D17" s="6">
        <v>1.98</v>
      </c>
      <c r="E17" s="6">
        <v>3.45</v>
      </c>
      <c r="F17" s="7">
        <v>4.1500000000000004</v>
      </c>
      <c r="G17" s="8">
        <v>1</v>
      </c>
      <c r="H17" s="8">
        <v>1</v>
      </c>
      <c r="I17" s="8">
        <v>1</v>
      </c>
      <c r="J17" s="8" t="s">
        <v>11</v>
      </c>
      <c r="K17" s="8">
        <v>1</v>
      </c>
    </row>
    <row r="18" spans="1:11" x14ac:dyDescent="0.3">
      <c r="A18" t="s">
        <v>30</v>
      </c>
      <c r="B18" t="s">
        <v>6</v>
      </c>
      <c r="C18" t="str">
        <f t="shared" si="0"/>
        <v>France-Senegal</v>
      </c>
      <c r="D18" s="6">
        <v>1.46</v>
      </c>
      <c r="E18" s="6">
        <v>4.4000000000000004</v>
      </c>
      <c r="F18" s="7">
        <v>7.9</v>
      </c>
      <c r="G18" s="8">
        <v>2</v>
      </c>
      <c r="H18" s="8">
        <v>1</v>
      </c>
      <c r="I18" s="8">
        <v>1</v>
      </c>
      <c r="J18" s="8" t="s">
        <v>11</v>
      </c>
      <c r="K18" s="8">
        <v>1</v>
      </c>
    </row>
    <row r="19" spans="1:11" x14ac:dyDescent="0.3">
      <c r="A19" t="s">
        <v>31</v>
      </c>
      <c r="B19" t="s">
        <v>45</v>
      </c>
      <c r="C19" t="str">
        <f t="shared" si="0"/>
        <v>Iraq-Norway</v>
      </c>
      <c r="D19" s="6">
        <v>15.5</v>
      </c>
      <c r="E19" s="6">
        <v>6.7</v>
      </c>
      <c r="F19" s="7">
        <v>1.21</v>
      </c>
      <c r="G19" s="8">
        <v>2</v>
      </c>
      <c r="H19" s="8">
        <v>0</v>
      </c>
      <c r="I19" s="8">
        <v>2</v>
      </c>
      <c r="J19" s="8" t="s">
        <v>12</v>
      </c>
      <c r="K19" s="8">
        <v>2</v>
      </c>
    </row>
    <row r="20" spans="1:11" x14ac:dyDescent="0.3">
      <c r="A20" t="s">
        <v>32</v>
      </c>
      <c r="B20" t="s">
        <v>56</v>
      </c>
      <c r="C20" t="str">
        <f t="shared" si="0"/>
        <v>Argentina-Algeria</v>
      </c>
      <c r="D20" s="6">
        <v>1.42</v>
      </c>
      <c r="E20" s="6">
        <v>4.45</v>
      </c>
      <c r="F20" s="7">
        <v>9.1</v>
      </c>
      <c r="G20" s="8">
        <v>1</v>
      </c>
      <c r="H20" s="8">
        <v>1</v>
      </c>
      <c r="I20" s="8">
        <v>1</v>
      </c>
      <c r="J20" s="8" t="s">
        <v>11</v>
      </c>
      <c r="K20" s="8">
        <v>1</v>
      </c>
    </row>
    <row r="21" spans="1:11" x14ac:dyDescent="0.3">
      <c r="A21" t="s">
        <v>33</v>
      </c>
      <c r="B21" t="s">
        <v>46</v>
      </c>
      <c r="C21" t="str">
        <f t="shared" si="0"/>
        <v>Austria-Jordan</v>
      </c>
      <c r="D21" s="6">
        <v>1.34</v>
      </c>
      <c r="E21" s="6">
        <v>5.35</v>
      </c>
      <c r="F21" s="7">
        <v>9.9</v>
      </c>
      <c r="G21" s="8">
        <v>1</v>
      </c>
      <c r="H21" s="8">
        <v>1</v>
      </c>
      <c r="I21" s="8">
        <v>1</v>
      </c>
      <c r="J21" s="8" t="s">
        <v>11</v>
      </c>
      <c r="K21" s="8">
        <v>1</v>
      </c>
    </row>
    <row r="22" spans="1:11" x14ac:dyDescent="0.3">
      <c r="A22" t="s">
        <v>34</v>
      </c>
      <c r="B22" t="s">
        <v>55</v>
      </c>
      <c r="C22" t="str">
        <f t="shared" si="0"/>
        <v>Portugal-Democratic Republic of the Congo</v>
      </c>
      <c r="D22" s="6">
        <v>1.28</v>
      </c>
      <c r="E22" s="6">
        <v>5.45</v>
      </c>
      <c r="F22" s="7">
        <v>13.5</v>
      </c>
      <c r="G22" s="8">
        <v>1</v>
      </c>
      <c r="H22" s="8">
        <v>1</v>
      </c>
      <c r="I22" s="8">
        <v>1</v>
      </c>
      <c r="J22" s="8" t="s">
        <v>11</v>
      </c>
      <c r="K22" s="8">
        <v>1</v>
      </c>
    </row>
    <row r="23" spans="1:11" x14ac:dyDescent="0.3">
      <c r="A23" t="s">
        <v>35</v>
      </c>
      <c r="B23" t="s">
        <v>54</v>
      </c>
      <c r="C23" t="str">
        <f t="shared" si="0"/>
        <v>England-Croatia</v>
      </c>
      <c r="D23" s="6">
        <v>1.72</v>
      </c>
      <c r="E23" s="6">
        <v>3.85</v>
      </c>
      <c r="F23" s="7">
        <v>5.05</v>
      </c>
      <c r="G23" s="8">
        <v>1</v>
      </c>
      <c r="H23" s="8">
        <v>0</v>
      </c>
      <c r="I23" s="8">
        <v>0</v>
      </c>
      <c r="J23" s="8" t="s">
        <v>11</v>
      </c>
      <c r="K23" s="8">
        <v>0</v>
      </c>
    </row>
    <row r="24" spans="1:11" x14ac:dyDescent="0.3">
      <c r="A24" t="s">
        <v>36</v>
      </c>
      <c r="B24" t="s">
        <v>7</v>
      </c>
      <c r="C24" t="str">
        <f t="shared" si="0"/>
        <v>Ghana-Panama</v>
      </c>
      <c r="D24" s="6">
        <v>2.02</v>
      </c>
      <c r="E24" s="6">
        <v>3.6</v>
      </c>
      <c r="F24" s="7">
        <v>3.8</v>
      </c>
      <c r="G24" s="8">
        <v>1</v>
      </c>
      <c r="H24" s="8">
        <v>1</v>
      </c>
      <c r="I24" s="8">
        <v>1</v>
      </c>
      <c r="J24" s="8" t="s">
        <v>11</v>
      </c>
      <c r="K24" s="8">
        <v>2</v>
      </c>
    </row>
    <row r="25" spans="1:11" x14ac:dyDescent="0.3">
      <c r="A25" t="s">
        <v>37</v>
      </c>
      <c r="B25" t="s">
        <v>47</v>
      </c>
      <c r="C25" t="str">
        <f t="shared" si="0"/>
        <v>Uzbekistan-Colombia</v>
      </c>
      <c r="D25" s="6">
        <v>8.6999999999999993</v>
      </c>
      <c r="E25" s="6">
        <v>4.45</v>
      </c>
      <c r="F25" s="7">
        <v>1.43</v>
      </c>
      <c r="G25" s="8">
        <v>2</v>
      </c>
      <c r="H25" s="8">
        <v>2</v>
      </c>
      <c r="I25" s="8">
        <v>2</v>
      </c>
      <c r="J25" s="8" t="s">
        <v>12</v>
      </c>
      <c r="K25" s="8">
        <v>2</v>
      </c>
    </row>
    <row r="26" spans="1:11" x14ac:dyDescent="0.3">
      <c r="A26" t="s">
        <v>38</v>
      </c>
      <c r="B26" t="s">
        <v>50</v>
      </c>
      <c r="C26" t="str">
        <f t="shared" si="0"/>
        <v>Czech Republic-South Africa</v>
      </c>
      <c r="D26" s="6">
        <v>2</v>
      </c>
      <c r="E26" s="6">
        <v>3.4</v>
      </c>
      <c r="F26" s="7">
        <v>4.0999999999999996</v>
      </c>
      <c r="G26" s="8">
        <v>0</v>
      </c>
      <c r="H26" s="8">
        <v>1</v>
      </c>
      <c r="I26" s="8">
        <v>1</v>
      </c>
      <c r="J26" s="8" t="s">
        <v>11</v>
      </c>
      <c r="K26" s="8">
        <v>1</v>
      </c>
    </row>
    <row r="27" spans="1:11" x14ac:dyDescent="0.3">
      <c r="A27" t="s">
        <v>39</v>
      </c>
      <c r="B27" t="s">
        <v>48</v>
      </c>
      <c r="C27" t="str">
        <f t="shared" si="0"/>
        <v>Switzerland-Bosnia and Herzegovina</v>
      </c>
      <c r="D27" s="6">
        <v>1.6</v>
      </c>
      <c r="E27" s="6">
        <v>4</v>
      </c>
      <c r="F27" s="7">
        <v>6.2</v>
      </c>
      <c r="G27" s="8">
        <v>1</v>
      </c>
      <c r="H27" s="8">
        <v>1</v>
      </c>
      <c r="I27" s="8">
        <v>0</v>
      </c>
      <c r="J27" s="8" t="s">
        <v>11</v>
      </c>
      <c r="K27" s="8">
        <v>0</v>
      </c>
    </row>
    <row r="28" spans="1:11" x14ac:dyDescent="0.3">
      <c r="A28" t="s">
        <v>17</v>
      </c>
      <c r="B28" t="s">
        <v>19</v>
      </c>
      <c r="C28" t="str">
        <f t="shared" si="0"/>
        <v>Canada-Qatar</v>
      </c>
      <c r="D28" s="6">
        <v>1.35</v>
      </c>
      <c r="E28" s="6">
        <v>4.7</v>
      </c>
      <c r="F28" s="7">
        <v>12</v>
      </c>
      <c r="G28" s="8">
        <v>1</v>
      </c>
      <c r="H28" s="8">
        <v>1</v>
      </c>
      <c r="I28" s="8">
        <v>1</v>
      </c>
      <c r="J28" s="8" t="s">
        <v>11</v>
      </c>
      <c r="K28" s="8">
        <v>0</v>
      </c>
    </row>
    <row r="29" spans="1:11" x14ac:dyDescent="0.3">
      <c r="A29" t="s">
        <v>15</v>
      </c>
      <c r="B29" t="s">
        <v>16</v>
      </c>
      <c r="C29" t="str">
        <f t="shared" si="0"/>
        <v>Mexico-South Korea</v>
      </c>
      <c r="D29" s="6">
        <v>1.85</v>
      </c>
      <c r="E29" s="6">
        <v>3.6</v>
      </c>
      <c r="F29" s="7">
        <v>4.5999999999999996</v>
      </c>
      <c r="G29" s="8">
        <v>1</v>
      </c>
      <c r="H29" s="8">
        <v>1</v>
      </c>
      <c r="I29" s="8">
        <v>1</v>
      </c>
      <c r="J29" s="8" t="s">
        <v>11</v>
      </c>
      <c r="K29" s="8">
        <v>2</v>
      </c>
    </row>
    <row r="30" spans="1:11" x14ac:dyDescent="0.3">
      <c r="A30" t="s">
        <v>18</v>
      </c>
      <c r="B30" t="s">
        <v>21</v>
      </c>
      <c r="C30" t="str">
        <f t="shared" si="0"/>
        <v>USA-Australia</v>
      </c>
      <c r="D30" s="6">
        <v>1.75</v>
      </c>
      <c r="E30" s="6">
        <v>3.85</v>
      </c>
      <c r="F30" s="7">
        <v>4.8499999999999996</v>
      </c>
      <c r="G30" s="8">
        <v>1</v>
      </c>
      <c r="H30" s="8">
        <v>1</v>
      </c>
      <c r="I30" s="8">
        <v>0</v>
      </c>
      <c r="J30" s="8" t="s">
        <v>11</v>
      </c>
      <c r="K30" s="8">
        <v>0</v>
      </c>
    </row>
    <row r="31" spans="1:11" x14ac:dyDescent="0.3">
      <c r="A31" t="s">
        <v>40</v>
      </c>
      <c r="B31" t="s">
        <v>49</v>
      </c>
      <c r="C31" t="str">
        <f t="shared" si="0"/>
        <v>Scotland-Morocco</v>
      </c>
      <c r="D31" s="6">
        <v>4</v>
      </c>
      <c r="E31" s="6">
        <v>3.25</v>
      </c>
      <c r="F31" s="7">
        <v>2.1</v>
      </c>
      <c r="G31" s="8">
        <v>2</v>
      </c>
      <c r="H31" s="8">
        <v>2</v>
      </c>
      <c r="I31" s="8">
        <v>2</v>
      </c>
      <c r="J31" s="8" t="s">
        <v>12</v>
      </c>
      <c r="K31" s="8">
        <v>0</v>
      </c>
    </row>
    <row r="32" spans="1:11" x14ac:dyDescent="0.3">
      <c r="A32" t="s">
        <v>20</v>
      </c>
      <c r="B32" t="s">
        <v>3</v>
      </c>
      <c r="C32" t="str">
        <f t="shared" si="0"/>
        <v>Brazil-Haiti</v>
      </c>
      <c r="D32" s="6">
        <v>1.06</v>
      </c>
      <c r="E32" s="6">
        <v>14</v>
      </c>
      <c r="F32" s="7">
        <v>60</v>
      </c>
      <c r="G32" s="8">
        <v>1</v>
      </c>
      <c r="H32" s="8">
        <v>1</v>
      </c>
      <c r="I32" s="8">
        <v>1</v>
      </c>
      <c r="J32" s="8" t="s">
        <v>11</v>
      </c>
      <c r="K32" s="8">
        <v>1</v>
      </c>
    </row>
    <row r="33" spans="1:11" x14ac:dyDescent="0.3">
      <c r="A33" t="s">
        <v>41</v>
      </c>
      <c r="B33" t="s">
        <v>2</v>
      </c>
      <c r="C33" t="str">
        <f t="shared" si="0"/>
        <v>Turkey-Paraguay</v>
      </c>
      <c r="D33" s="6">
        <v>2.2999999999999998</v>
      </c>
      <c r="E33" s="6">
        <v>3.2</v>
      </c>
      <c r="F33" s="7">
        <v>3.4</v>
      </c>
      <c r="G33" s="8">
        <v>0</v>
      </c>
      <c r="H33" s="8">
        <v>1</v>
      </c>
      <c r="I33" s="8">
        <v>1</v>
      </c>
      <c r="J33" s="8" t="s">
        <v>11</v>
      </c>
      <c r="K33" s="8">
        <v>1</v>
      </c>
    </row>
    <row r="34" spans="1:11" x14ac:dyDescent="0.3">
      <c r="A34" t="s">
        <v>23</v>
      </c>
      <c r="B34" t="s">
        <v>25</v>
      </c>
      <c r="C34" t="str">
        <f t="shared" si="0"/>
        <v>Netherlands-Sweden</v>
      </c>
      <c r="D34" s="6">
        <v>1.65</v>
      </c>
      <c r="E34" s="6">
        <v>4</v>
      </c>
      <c r="F34" s="7">
        <v>5.55</v>
      </c>
      <c r="G34" s="8">
        <v>1</v>
      </c>
      <c r="H34" s="8">
        <v>1</v>
      </c>
      <c r="I34" s="8">
        <v>2</v>
      </c>
      <c r="J34" s="8" t="s">
        <v>11</v>
      </c>
      <c r="K34" s="8">
        <v>1</v>
      </c>
    </row>
    <row r="35" spans="1:11" x14ac:dyDescent="0.3">
      <c r="A35" t="s">
        <v>22</v>
      </c>
      <c r="B35" t="s">
        <v>24</v>
      </c>
      <c r="C35" t="str">
        <f t="shared" si="0"/>
        <v>Germany-Ivory Coast</v>
      </c>
      <c r="D35" s="6">
        <v>1.55</v>
      </c>
      <c r="E35" s="6">
        <v>4.3499999999999996</v>
      </c>
      <c r="F35" s="7">
        <v>5.95</v>
      </c>
      <c r="G35" s="8">
        <v>1</v>
      </c>
      <c r="H35" s="8">
        <v>1</v>
      </c>
      <c r="I35" s="8">
        <v>1</v>
      </c>
      <c r="J35" s="8" t="s">
        <v>11</v>
      </c>
      <c r="K35" s="8">
        <v>1</v>
      </c>
    </row>
    <row r="36" spans="1:11" x14ac:dyDescent="0.3">
      <c r="A36" t="s">
        <v>42</v>
      </c>
      <c r="B36" t="s">
        <v>4</v>
      </c>
      <c r="C36" t="str">
        <f t="shared" si="0"/>
        <v>Ecuador-Curaçao</v>
      </c>
      <c r="D36" s="6">
        <v>1.24</v>
      </c>
      <c r="E36" s="6">
        <v>5.95</v>
      </c>
      <c r="F36" s="7">
        <v>15.5</v>
      </c>
      <c r="G36" s="8">
        <v>1</v>
      </c>
      <c r="H36" s="8">
        <v>1</v>
      </c>
      <c r="I36" s="8">
        <v>1</v>
      </c>
      <c r="J36" s="8" t="s">
        <v>11</v>
      </c>
      <c r="K36" s="8">
        <v>1</v>
      </c>
    </row>
    <row r="37" spans="1:11" x14ac:dyDescent="0.3">
      <c r="A37" t="s">
        <v>43</v>
      </c>
      <c r="B37" t="s">
        <v>51</v>
      </c>
      <c r="C37" t="str">
        <f t="shared" si="0"/>
        <v>Tunisia-Japan</v>
      </c>
      <c r="D37" s="6">
        <v>4.9000000000000004</v>
      </c>
      <c r="E37" s="6">
        <v>3.55</v>
      </c>
      <c r="F37" s="7">
        <v>1.82</v>
      </c>
      <c r="G37" s="8">
        <v>2</v>
      </c>
      <c r="H37" s="8">
        <v>2</v>
      </c>
      <c r="I37" s="8">
        <v>2</v>
      </c>
      <c r="J37" s="8" t="s">
        <v>12</v>
      </c>
      <c r="K37" s="8">
        <v>2</v>
      </c>
    </row>
    <row r="38" spans="1:11" x14ac:dyDescent="0.3">
      <c r="A38" t="s">
        <v>26</v>
      </c>
      <c r="B38" t="s">
        <v>28</v>
      </c>
      <c r="C38" t="str">
        <f t="shared" si="0"/>
        <v>Spain-Saudi Arabia</v>
      </c>
      <c r="D38" s="6">
        <v>1.1200000000000001</v>
      </c>
      <c r="E38" s="6">
        <v>8.6999999999999993</v>
      </c>
      <c r="F38" s="7">
        <v>32</v>
      </c>
      <c r="G38" s="8">
        <v>1</v>
      </c>
      <c r="H38" s="8">
        <v>1</v>
      </c>
      <c r="I38" s="8">
        <v>1</v>
      </c>
      <c r="J38" s="8" t="s">
        <v>11</v>
      </c>
      <c r="K38" s="8">
        <v>1</v>
      </c>
    </row>
    <row r="39" spans="1:11" x14ac:dyDescent="0.3">
      <c r="A39" t="s">
        <v>27</v>
      </c>
      <c r="B39" t="s">
        <v>29</v>
      </c>
      <c r="C39" t="str">
        <f t="shared" si="0"/>
        <v>Belgium-Iran</v>
      </c>
      <c r="D39" s="6">
        <v>1.43</v>
      </c>
      <c r="E39" s="6">
        <v>4.5</v>
      </c>
      <c r="F39" s="7">
        <v>8.5</v>
      </c>
      <c r="G39" s="8">
        <v>1</v>
      </c>
      <c r="H39" s="8">
        <v>1</v>
      </c>
      <c r="I39" s="8">
        <v>0</v>
      </c>
      <c r="J39" s="8" t="s">
        <v>11</v>
      </c>
      <c r="K39" s="8">
        <v>1</v>
      </c>
    </row>
    <row r="40" spans="1:11" x14ac:dyDescent="0.3">
      <c r="A40" t="s">
        <v>5</v>
      </c>
      <c r="B40" t="s">
        <v>52</v>
      </c>
      <c r="C40" t="str">
        <f t="shared" si="0"/>
        <v>Uruguay-Cape Verde</v>
      </c>
      <c r="D40" s="6">
        <v>1.47</v>
      </c>
      <c r="E40" s="6">
        <v>4.5</v>
      </c>
      <c r="F40" s="7">
        <v>7.3</v>
      </c>
      <c r="G40" s="8">
        <v>1</v>
      </c>
      <c r="H40" s="8">
        <v>1</v>
      </c>
      <c r="I40" s="8">
        <v>1</v>
      </c>
      <c r="J40" s="8" t="s">
        <v>11</v>
      </c>
      <c r="K40" s="8">
        <v>1</v>
      </c>
    </row>
    <row r="41" spans="1:11" x14ac:dyDescent="0.3">
      <c r="A41" t="s">
        <v>44</v>
      </c>
      <c r="B41" t="s">
        <v>53</v>
      </c>
      <c r="C41" t="str">
        <f t="shared" si="0"/>
        <v>New Zealand-Egypt</v>
      </c>
      <c r="D41" s="6">
        <v>5.05</v>
      </c>
      <c r="E41" s="6">
        <v>3.85</v>
      </c>
      <c r="F41" s="7">
        <v>1.72</v>
      </c>
      <c r="G41" s="8">
        <v>2</v>
      </c>
      <c r="H41" s="8">
        <v>0</v>
      </c>
      <c r="I41" s="8">
        <v>2</v>
      </c>
      <c r="J41" s="8" t="s">
        <v>12</v>
      </c>
      <c r="K41" s="8">
        <v>2</v>
      </c>
    </row>
    <row r="42" spans="1:11" x14ac:dyDescent="0.3">
      <c r="A42" t="s">
        <v>32</v>
      </c>
      <c r="B42" t="s">
        <v>33</v>
      </c>
      <c r="C42" t="str">
        <f t="shared" si="0"/>
        <v>Argentina-Austria</v>
      </c>
      <c r="D42" s="6">
        <v>1.7</v>
      </c>
      <c r="E42" s="6">
        <v>3.8</v>
      </c>
      <c r="F42" s="7">
        <v>5.35</v>
      </c>
      <c r="G42" s="8">
        <v>1</v>
      </c>
      <c r="H42" s="8">
        <v>1</v>
      </c>
      <c r="I42" s="8">
        <v>1</v>
      </c>
      <c r="J42" s="8" t="s">
        <v>11</v>
      </c>
      <c r="K42" s="8">
        <v>1</v>
      </c>
    </row>
    <row r="43" spans="1:11" x14ac:dyDescent="0.3">
      <c r="A43" t="s">
        <v>30</v>
      </c>
      <c r="B43" t="s">
        <v>31</v>
      </c>
      <c r="C43" t="str">
        <f t="shared" si="0"/>
        <v>France-Iraq</v>
      </c>
      <c r="D43" s="6">
        <v>1.1299999999999999</v>
      </c>
      <c r="E43" s="6">
        <v>8</v>
      </c>
      <c r="F43" s="7">
        <v>41</v>
      </c>
      <c r="G43" s="8">
        <v>1</v>
      </c>
      <c r="H43" s="8">
        <v>1</v>
      </c>
      <c r="I43" s="8">
        <v>1</v>
      </c>
      <c r="J43" s="8" t="s">
        <v>11</v>
      </c>
      <c r="K43" s="8">
        <v>1</v>
      </c>
    </row>
    <row r="44" spans="1:11" x14ac:dyDescent="0.3">
      <c r="A44" t="s">
        <v>45</v>
      </c>
      <c r="B44" t="s">
        <v>6</v>
      </c>
      <c r="C44" t="str">
        <f t="shared" si="0"/>
        <v>Norway-Senegal</v>
      </c>
      <c r="D44" s="6">
        <v>2.12</v>
      </c>
      <c r="E44" s="6">
        <v>3.55</v>
      </c>
      <c r="F44" s="7">
        <v>3.5</v>
      </c>
      <c r="G44" s="8">
        <v>0</v>
      </c>
      <c r="H44" s="8">
        <v>0</v>
      </c>
      <c r="I44" s="8">
        <v>2</v>
      </c>
      <c r="J44" s="8" t="s">
        <v>11</v>
      </c>
      <c r="K44" s="8">
        <v>0</v>
      </c>
    </row>
    <row r="45" spans="1:11" x14ac:dyDescent="0.3">
      <c r="A45" t="s">
        <v>46</v>
      </c>
      <c r="B45" t="s">
        <v>56</v>
      </c>
      <c r="C45" t="str">
        <f t="shared" si="0"/>
        <v>Jordan-Algeria</v>
      </c>
      <c r="D45" s="6">
        <v>5.55</v>
      </c>
      <c r="E45" s="6">
        <v>3.9</v>
      </c>
      <c r="F45" s="7">
        <v>1.65</v>
      </c>
      <c r="G45" s="8">
        <v>2</v>
      </c>
      <c r="H45" s="8">
        <v>2</v>
      </c>
      <c r="I45" s="8">
        <v>2</v>
      </c>
      <c r="J45" s="8" t="s">
        <v>12</v>
      </c>
      <c r="K45" s="8">
        <v>0</v>
      </c>
    </row>
    <row r="46" spans="1:11" x14ac:dyDescent="0.3">
      <c r="A46" t="s">
        <v>34</v>
      </c>
      <c r="B46" t="s">
        <v>37</v>
      </c>
      <c r="C46" t="str">
        <f t="shared" si="0"/>
        <v>Portugal-Uzbekistan</v>
      </c>
      <c r="D46" s="6">
        <v>1.28</v>
      </c>
      <c r="E46" s="6">
        <v>5.95</v>
      </c>
      <c r="F46" s="7">
        <v>12</v>
      </c>
      <c r="G46" s="8">
        <v>1</v>
      </c>
      <c r="H46" s="8">
        <v>1</v>
      </c>
      <c r="I46" s="8">
        <v>1</v>
      </c>
      <c r="J46" s="8" t="s">
        <v>11</v>
      </c>
      <c r="K46" s="8">
        <v>1</v>
      </c>
    </row>
    <row r="47" spans="1:11" x14ac:dyDescent="0.3">
      <c r="A47" t="s">
        <v>35</v>
      </c>
      <c r="B47" t="s">
        <v>36</v>
      </c>
      <c r="C47" t="str">
        <f t="shared" si="0"/>
        <v>England-Ghana</v>
      </c>
      <c r="D47" s="6">
        <v>1.33</v>
      </c>
      <c r="E47" s="6">
        <v>5.05</v>
      </c>
      <c r="F47" s="7">
        <v>12</v>
      </c>
      <c r="G47" s="8">
        <v>1</v>
      </c>
      <c r="H47" s="8">
        <v>1</v>
      </c>
      <c r="I47" s="8">
        <v>1</v>
      </c>
      <c r="J47" s="8" t="s">
        <v>11</v>
      </c>
      <c r="K47" s="8">
        <v>1</v>
      </c>
    </row>
    <row r="48" spans="1:11" x14ac:dyDescent="0.3">
      <c r="A48" t="s">
        <v>7</v>
      </c>
      <c r="B48" t="s">
        <v>54</v>
      </c>
      <c r="C48" t="str">
        <f t="shared" si="0"/>
        <v>Panama-Croatia</v>
      </c>
      <c r="D48" s="6">
        <v>7.3</v>
      </c>
      <c r="E48" s="6">
        <v>3.9</v>
      </c>
      <c r="F48" s="7">
        <v>1.55</v>
      </c>
      <c r="G48" s="8">
        <v>0</v>
      </c>
      <c r="H48" s="8">
        <v>2</v>
      </c>
      <c r="I48" s="8">
        <v>2</v>
      </c>
      <c r="J48" s="8" t="s">
        <v>12</v>
      </c>
      <c r="K48" s="8">
        <v>0</v>
      </c>
    </row>
    <row r="49" spans="1:11" x14ac:dyDescent="0.3">
      <c r="A49" t="s">
        <v>47</v>
      </c>
      <c r="B49" t="s">
        <v>55</v>
      </c>
      <c r="C49" t="str">
        <f t="shared" si="0"/>
        <v>Colombia-Democratic Republic of the Congo</v>
      </c>
      <c r="D49" s="6">
        <v>1.48</v>
      </c>
      <c r="E49" s="6">
        <v>4.2</v>
      </c>
      <c r="F49" s="7">
        <v>8.1</v>
      </c>
      <c r="G49" s="8">
        <v>1</v>
      </c>
      <c r="H49" s="8">
        <v>1</v>
      </c>
      <c r="I49" s="8">
        <v>1</v>
      </c>
      <c r="J49" s="8" t="s">
        <v>11</v>
      </c>
      <c r="K49" s="8">
        <v>1</v>
      </c>
    </row>
    <row r="50" spans="1:11" x14ac:dyDescent="0.3">
      <c r="A50" t="s">
        <v>39</v>
      </c>
      <c r="B50" t="s">
        <v>17</v>
      </c>
      <c r="C50" t="str">
        <f t="shared" si="0"/>
        <v>Switzerland-Canada</v>
      </c>
      <c r="D50" s="6">
        <v>2.1800000000000002</v>
      </c>
      <c r="E50" s="6">
        <v>3.4</v>
      </c>
      <c r="F50" s="7">
        <v>3.5</v>
      </c>
      <c r="G50" s="8">
        <v>1</v>
      </c>
      <c r="H50" s="8">
        <v>1</v>
      </c>
      <c r="I50" s="8">
        <v>1</v>
      </c>
      <c r="J50" s="8" t="s">
        <v>11</v>
      </c>
      <c r="K50" s="8">
        <v>0</v>
      </c>
    </row>
    <row r="51" spans="1:11" x14ac:dyDescent="0.3">
      <c r="A51" t="s">
        <v>48</v>
      </c>
      <c r="B51" t="s">
        <v>19</v>
      </c>
      <c r="C51" t="str">
        <f t="shared" si="0"/>
        <v>Bosnia and Herzegovina-Qatar</v>
      </c>
      <c r="D51" s="6">
        <v>1.62</v>
      </c>
      <c r="E51" s="6">
        <v>3.9</v>
      </c>
      <c r="F51" s="7">
        <v>6.2</v>
      </c>
      <c r="G51" s="8">
        <v>0</v>
      </c>
      <c r="H51" s="8">
        <v>1</v>
      </c>
      <c r="I51" s="8">
        <v>1</v>
      </c>
      <c r="J51" s="8" t="s">
        <v>11</v>
      </c>
      <c r="K51" s="8">
        <v>0</v>
      </c>
    </row>
    <row r="52" spans="1:11" x14ac:dyDescent="0.3">
      <c r="A52" t="s">
        <v>40</v>
      </c>
      <c r="B52" t="s">
        <v>20</v>
      </c>
      <c r="C52" t="str">
        <f t="shared" si="0"/>
        <v>Scotland-Brazil</v>
      </c>
      <c r="D52" s="6">
        <v>8.9</v>
      </c>
      <c r="E52" s="6">
        <v>4.5</v>
      </c>
      <c r="F52" s="7">
        <v>1.42</v>
      </c>
      <c r="G52" s="8">
        <v>2</v>
      </c>
      <c r="H52" s="8">
        <v>0</v>
      </c>
      <c r="I52" s="8">
        <v>2</v>
      </c>
      <c r="J52" s="8" t="s">
        <v>12</v>
      </c>
      <c r="K52" s="8">
        <v>0</v>
      </c>
    </row>
    <row r="53" spans="1:11" x14ac:dyDescent="0.3">
      <c r="A53" t="s">
        <v>49</v>
      </c>
      <c r="B53" t="s">
        <v>3</v>
      </c>
      <c r="C53" t="str">
        <f t="shared" si="0"/>
        <v>Morocco-Haiti</v>
      </c>
      <c r="D53" s="6">
        <v>1.23</v>
      </c>
      <c r="E53" s="6">
        <v>6.1</v>
      </c>
      <c r="F53" s="7">
        <v>15.5</v>
      </c>
      <c r="G53" s="8">
        <v>1</v>
      </c>
      <c r="H53" s="8">
        <v>1</v>
      </c>
      <c r="I53" s="8">
        <v>1</v>
      </c>
      <c r="J53" s="8" t="s">
        <v>11</v>
      </c>
      <c r="K53" s="8">
        <v>1</v>
      </c>
    </row>
    <row r="54" spans="1:11" x14ac:dyDescent="0.3">
      <c r="A54" t="s">
        <v>38</v>
      </c>
      <c r="B54" t="s">
        <v>15</v>
      </c>
      <c r="C54" t="str">
        <f t="shared" si="0"/>
        <v>Czech Republic-Mexico</v>
      </c>
      <c r="D54" s="6">
        <v>4.6500000000000004</v>
      </c>
      <c r="E54" s="6">
        <v>3.65</v>
      </c>
      <c r="F54" s="7">
        <v>1.82</v>
      </c>
      <c r="G54" s="8">
        <v>2</v>
      </c>
      <c r="H54" s="8">
        <v>2</v>
      </c>
      <c r="I54" s="8">
        <v>2</v>
      </c>
      <c r="J54" s="8" t="s">
        <v>12</v>
      </c>
      <c r="K54" s="8">
        <v>2</v>
      </c>
    </row>
    <row r="55" spans="1:11" x14ac:dyDescent="0.3">
      <c r="A55" t="s">
        <v>50</v>
      </c>
      <c r="B55" t="s">
        <v>16</v>
      </c>
      <c r="C55" t="str">
        <f t="shared" si="0"/>
        <v>South Africa-South Korea</v>
      </c>
      <c r="D55" s="6">
        <v>4.1500000000000004</v>
      </c>
      <c r="E55" s="6">
        <v>3.5</v>
      </c>
      <c r="F55" s="7">
        <v>1.98</v>
      </c>
      <c r="G55" s="8">
        <v>2</v>
      </c>
      <c r="H55" s="8">
        <v>2</v>
      </c>
      <c r="I55" s="8">
        <v>2</v>
      </c>
      <c r="J55" s="8" t="s">
        <v>12</v>
      </c>
      <c r="K55" s="8">
        <v>1</v>
      </c>
    </row>
    <row r="56" spans="1:11" x14ac:dyDescent="0.3">
      <c r="A56" t="s">
        <v>4</v>
      </c>
      <c r="B56" t="s">
        <v>24</v>
      </c>
      <c r="C56" t="str">
        <f t="shared" si="0"/>
        <v>Curaçao-Ivory Coast</v>
      </c>
      <c r="D56" s="6">
        <v>11</v>
      </c>
      <c r="E56" s="6">
        <v>5.0999999999999996</v>
      </c>
      <c r="F56" s="7">
        <v>1.34</v>
      </c>
      <c r="G56" s="8">
        <v>2</v>
      </c>
      <c r="H56" s="8">
        <v>2</v>
      </c>
      <c r="I56" s="8">
        <v>2</v>
      </c>
      <c r="J56" s="8" t="s">
        <v>12</v>
      </c>
      <c r="K56" s="8">
        <v>2</v>
      </c>
    </row>
    <row r="57" spans="1:11" x14ac:dyDescent="0.3">
      <c r="A57" t="s">
        <v>42</v>
      </c>
      <c r="B57" t="s">
        <v>22</v>
      </c>
      <c r="C57" t="str">
        <f t="shared" si="0"/>
        <v>Ecuador-Germany</v>
      </c>
      <c r="D57" s="6">
        <v>5.35</v>
      </c>
      <c r="E57" s="6">
        <v>3.85</v>
      </c>
      <c r="F57" s="7">
        <v>1.7</v>
      </c>
      <c r="G57" s="8">
        <v>0</v>
      </c>
      <c r="H57" s="8">
        <v>2</v>
      </c>
      <c r="I57" s="8">
        <v>2</v>
      </c>
      <c r="J57" s="8" t="s">
        <v>12</v>
      </c>
      <c r="K57" s="8">
        <v>2</v>
      </c>
    </row>
    <row r="58" spans="1:11" x14ac:dyDescent="0.3">
      <c r="A58" t="s">
        <v>51</v>
      </c>
      <c r="B58" t="s">
        <v>25</v>
      </c>
      <c r="C58" t="str">
        <f t="shared" si="0"/>
        <v>Japan-Sweden</v>
      </c>
      <c r="D58" s="6">
        <v>2.08</v>
      </c>
      <c r="E58" s="6">
        <v>3.5</v>
      </c>
      <c r="F58" s="7">
        <v>3.65</v>
      </c>
      <c r="G58" s="8">
        <v>0</v>
      </c>
      <c r="H58" s="8">
        <v>1</v>
      </c>
      <c r="I58" s="8">
        <v>1</v>
      </c>
      <c r="J58" s="8" t="s">
        <v>11</v>
      </c>
      <c r="K58" s="8">
        <v>0</v>
      </c>
    </row>
    <row r="59" spans="1:11" x14ac:dyDescent="0.3">
      <c r="A59" t="s">
        <v>43</v>
      </c>
      <c r="B59" t="s">
        <v>23</v>
      </c>
      <c r="C59" t="str">
        <f t="shared" si="0"/>
        <v>Tunisia-Netherlands</v>
      </c>
      <c r="D59" s="6">
        <v>6.9</v>
      </c>
      <c r="E59" s="6">
        <v>4.25</v>
      </c>
      <c r="F59" s="7">
        <v>1.52</v>
      </c>
      <c r="G59" s="8">
        <v>0</v>
      </c>
      <c r="H59" s="8">
        <v>2</v>
      </c>
      <c r="I59" s="8">
        <v>2</v>
      </c>
      <c r="J59" s="8" t="s">
        <v>12</v>
      </c>
      <c r="K59" s="8">
        <v>0</v>
      </c>
    </row>
    <row r="60" spans="1:11" x14ac:dyDescent="0.3">
      <c r="A60" t="s">
        <v>41</v>
      </c>
      <c r="B60" t="s">
        <v>18</v>
      </c>
      <c r="C60" t="str">
        <f t="shared" si="0"/>
        <v>Turkey-USA</v>
      </c>
      <c r="D60" s="6">
        <v>2.78</v>
      </c>
      <c r="E60" s="6">
        <v>3.5</v>
      </c>
      <c r="F60" s="7">
        <v>2.58</v>
      </c>
      <c r="G60" s="8">
        <v>0</v>
      </c>
      <c r="H60" s="8">
        <v>1</v>
      </c>
      <c r="I60" s="8">
        <v>1</v>
      </c>
      <c r="J60" s="8" t="s">
        <v>12</v>
      </c>
      <c r="K60" s="8">
        <v>0</v>
      </c>
    </row>
    <row r="61" spans="1:11" x14ac:dyDescent="0.3">
      <c r="A61" t="s">
        <v>2</v>
      </c>
      <c r="B61" t="s">
        <v>21</v>
      </c>
      <c r="C61" t="str">
        <f t="shared" si="0"/>
        <v>Paraguay-Australia</v>
      </c>
      <c r="D61" s="6">
        <v>2.25</v>
      </c>
      <c r="E61" s="6">
        <v>3.25</v>
      </c>
      <c r="F61" s="7">
        <v>3.55</v>
      </c>
      <c r="G61" s="8">
        <v>0</v>
      </c>
      <c r="H61" s="8">
        <v>1</v>
      </c>
      <c r="I61" s="8">
        <v>0</v>
      </c>
      <c r="J61" s="8" t="s">
        <v>11</v>
      </c>
      <c r="K61" s="8">
        <v>0</v>
      </c>
    </row>
    <row r="62" spans="1:11" x14ac:dyDescent="0.3">
      <c r="A62" t="s">
        <v>45</v>
      </c>
      <c r="B62" t="s">
        <v>30</v>
      </c>
      <c r="C62" t="str">
        <f t="shared" si="0"/>
        <v>Norway-France</v>
      </c>
      <c r="D62" s="6">
        <v>4.4000000000000004</v>
      </c>
      <c r="E62" s="6">
        <v>3.65</v>
      </c>
      <c r="F62" s="7">
        <v>1.85</v>
      </c>
      <c r="G62" s="8">
        <v>2</v>
      </c>
      <c r="H62" s="8">
        <v>2</v>
      </c>
      <c r="I62" s="8">
        <v>2</v>
      </c>
      <c r="J62" s="8" t="s">
        <v>12</v>
      </c>
      <c r="K62" s="8">
        <v>2</v>
      </c>
    </row>
    <row r="63" spans="1:11" x14ac:dyDescent="0.3">
      <c r="A63" t="s">
        <v>6</v>
      </c>
      <c r="B63" t="s">
        <v>31</v>
      </c>
      <c r="C63" t="str">
        <f t="shared" si="0"/>
        <v>Senegal-Iraq</v>
      </c>
      <c r="D63" s="6">
        <v>1.46</v>
      </c>
      <c r="E63" s="6">
        <v>4.2</v>
      </c>
      <c r="F63" s="7">
        <v>7.9</v>
      </c>
      <c r="G63" s="8">
        <v>1</v>
      </c>
      <c r="H63" s="8">
        <v>1</v>
      </c>
      <c r="I63" s="8">
        <v>1</v>
      </c>
      <c r="J63" s="8" t="s">
        <v>11</v>
      </c>
      <c r="K63" s="8">
        <v>1</v>
      </c>
    </row>
    <row r="64" spans="1:11" x14ac:dyDescent="0.3">
      <c r="A64" t="s">
        <v>52</v>
      </c>
      <c r="B64" t="s">
        <v>28</v>
      </c>
      <c r="C64" t="str">
        <f t="shared" si="0"/>
        <v>Cape Verde-Saudi Arabia</v>
      </c>
      <c r="D64" s="6">
        <v>2.52</v>
      </c>
      <c r="E64" s="6">
        <v>3.45</v>
      </c>
      <c r="F64" s="7">
        <v>2.85</v>
      </c>
      <c r="G64" s="8">
        <v>2</v>
      </c>
      <c r="H64" s="8">
        <v>0</v>
      </c>
      <c r="I64" s="8">
        <v>2</v>
      </c>
      <c r="J64" s="8" t="s">
        <v>11</v>
      </c>
      <c r="K64" s="8">
        <v>1</v>
      </c>
    </row>
    <row r="65" spans="1:11" x14ac:dyDescent="0.3">
      <c r="A65" t="s">
        <v>5</v>
      </c>
      <c r="B65" t="s">
        <v>26</v>
      </c>
      <c r="C65" t="str">
        <f t="shared" si="0"/>
        <v>Uruguay-Spain</v>
      </c>
      <c r="D65" s="6">
        <v>5.45</v>
      </c>
      <c r="E65" s="6">
        <v>3.95</v>
      </c>
      <c r="F65" s="7">
        <v>1.65</v>
      </c>
      <c r="G65" s="8">
        <v>0</v>
      </c>
      <c r="H65" s="8">
        <v>0</v>
      </c>
      <c r="I65" s="8">
        <v>2</v>
      </c>
      <c r="J65" s="8" t="s">
        <v>12</v>
      </c>
      <c r="K65" s="8">
        <v>1</v>
      </c>
    </row>
    <row r="66" spans="1:11" x14ac:dyDescent="0.3">
      <c r="A66" t="s">
        <v>53</v>
      </c>
      <c r="B66" t="s">
        <v>29</v>
      </c>
      <c r="C66" t="str">
        <f t="shared" si="0"/>
        <v>Egypt-Iran</v>
      </c>
      <c r="D66" s="6">
        <v>2.35</v>
      </c>
      <c r="E66" s="6">
        <v>3.05</v>
      </c>
      <c r="F66" s="7">
        <v>3.55</v>
      </c>
      <c r="G66" s="8">
        <v>1</v>
      </c>
      <c r="H66" s="8">
        <v>0</v>
      </c>
      <c r="I66" s="8">
        <v>1</v>
      </c>
      <c r="J66" s="8" t="s">
        <v>11</v>
      </c>
      <c r="K66" s="8">
        <v>1</v>
      </c>
    </row>
    <row r="67" spans="1:11" x14ac:dyDescent="0.3">
      <c r="A67" t="s">
        <v>44</v>
      </c>
      <c r="B67" t="s">
        <v>27</v>
      </c>
      <c r="C67" t="str">
        <f t="shared" ref="C67:C73" si="1">_xlfn.TEXTJOIN("-", TRUE, A67:B67)</f>
        <v>New Zealand-Belgium</v>
      </c>
      <c r="D67" s="6">
        <v>12</v>
      </c>
      <c r="E67" s="6">
        <v>5.55</v>
      </c>
      <c r="F67" s="7">
        <v>1.3</v>
      </c>
      <c r="G67" s="8">
        <v>2</v>
      </c>
      <c r="H67" s="8">
        <v>2</v>
      </c>
      <c r="I67" s="8">
        <v>2</v>
      </c>
      <c r="J67" s="8" t="s">
        <v>12</v>
      </c>
      <c r="K67" s="8">
        <v>2</v>
      </c>
    </row>
    <row r="68" spans="1:11" x14ac:dyDescent="0.3">
      <c r="A68" t="s">
        <v>7</v>
      </c>
      <c r="B68" t="s">
        <v>35</v>
      </c>
      <c r="C68" t="str">
        <f t="shared" si="1"/>
        <v>Panama-England</v>
      </c>
      <c r="D68" s="6">
        <v>13.5</v>
      </c>
      <c r="E68" s="6">
        <v>5.85</v>
      </c>
      <c r="F68" s="7">
        <v>1.26</v>
      </c>
      <c r="G68" s="8">
        <v>2</v>
      </c>
      <c r="H68" s="8">
        <v>2</v>
      </c>
      <c r="I68" s="8">
        <v>2</v>
      </c>
      <c r="J68" s="8" t="s">
        <v>12</v>
      </c>
      <c r="K68" s="8">
        <v>2</v>
      </c>
    </row>
    <row r="69" spans="1:11" x14ac:dyDescent="0.3">
      <c r="A69" t="s">
        <v>54</v>
      </c>
      <c r="B69" t="s">
        <v>36</v>
      </c>
      <c r="C69" t="str">
        <f t="shared" si="1"/>
        <v>Croatia-Ghana</v>
      </c>
      <c r="D69" s="6">
        <v>1.75</v>
      </c>
      <c r="E69" s="6">
        <v>3.7</v>
      </c>
      <c r="F69" s="7">
        <v>5.25</v>
      </c>
      <c r="G69" s="8">
        <v>2</v>
      </c>
      <c r="H69" s="8">
        <v>1</v>
      </c>
      <c r="I69" s="8">
        <v>0</v>
      </c>
      <c r="J69" s="8" t="s">
        <v>11</v>
      </c>
      <c r="K69" s="8">
        <v>1</v>
      </c>
    </row>
    <row r="70" spans="1:11" x14ac:dyDescent="0.3">
      <c r="A70" t="s">
        <v>47</v>
      </c>
      <c r="B70" t="s">
        <v>34</v>
      </c>
      <c r="C70" t="str">
        <f t="shared" si="1"/>
        <v>Colombia-Portugal</v>
      </c>
      <c r="D70" s="6">
        <v>3.45</v>
      </c>
      <c r="E70" s="6">
        <v>3.3</v>
      </c>
      <c r="F70" s="7">
        <v>2.25</v>
      </c>
      <c r="G70" s="8">
        <v>0</v>
      </c>
      <c r="H70" s="8">
        <v>2</v>
      </c>
      <c r="I70" s="8">
        <v>2</v>
      </c>
      <c r="J70" s="8" t="s">
        <v>12</v>
      </c>
      <c r="K70" s="8">
        <v>2</v>
      </c>
    </row>
    <row r="71" spans="1:11" x14ac:dyDescent="0.3">
      <c r="A71" t="s">
        <v>55</v>
      </c>
      <c r="B71" t="s">
        <v>37</v>
      </c>
      <c r="C71" t="str">
        <f t="shared" si="1"/>
        <v>Democratic Republic of the Congo-Uzbekistan</v>
      </c>
      <c r="D71" s="6">
        <v>2.58</v>
      </c>
      <c r="E71" s="6">
        <v>3.4</v>
      </c>
      <c r="F71" s="7">
        <v>2.85</v>
      </c>
      <c r="G71" s="8">
        <v>1</v>
      </c>
      <c r="H71" s="8">
        <v>2</v>
      </c>
      <c r="I71" s="8">
        <v>1</v>
      </c>
      <c r="J71" s="8" t="s">
        <v>11</v>
      </c>
      <c r="K71" s="8">
        <v>1</v>
      </c>
    </row>
    <row r="72" spans="1:11" x14ac:dyDescent="0.3">
      <c r="A72" t="s">
        <v>56</v>
      </c>
      <c r="B72" t="s">
        <v>33</v>
      </c>
      <c r="C72" t="str">
        <f t="shared" si="1"/>
        <v>Algeria-Austria</v>
      </c>
      <c r="D72" s="6">
        <v>3.35</v>
      </c>
      <c r="E72" s="6">
        <v>2.98</v>
      </c>
      <c r="F72" s="7">
        <v>2.5</v>
      </c>
      <c r="G72" s="8">
        <v>1</v>
      </c>
      <c r="H72" s="8">
        <v>1</v>
      </c>
      <c r="I72" s="8">
        <v>1</v>
      </c>
      <c r="J72" s="8" t="s">
        <v>12</v>
      </c>
      <c r="K72" s="8">
        <v>2</v>
      </c>
    </row>
    <row r="73" spans="1:11" x14ac:dyDescent="0.3">
      <c r="A73" t="s">
        <v>46</v>
      </c>
      <c r="B73" t="s">
        <v>32</v>
      </c>
      <c r="C73" t="str">
        <f t="shared" si="1"/>
        <v>Jordan-Argentina</v>
      </c>
      <c r="D73" s="6">
        <v>19.5</v>
      </c>
      <c r="E73" s="6">
        <v>6.5</v>
      </c>
      <c r="F73" s="7">
        <v>1.2</v>
      </c>
      <c r="G73" s="8">
        <v>2</v>
      </c>
      <c r="H73" s="8">
        <v>2</v>
      </c>
      <c r="I73" s="8">
        <v>2</v>
      </c>
      <c r="J73" s="8" t="s">
        <v>12</v>
      </c>
      <c r="K73" s="8">
        <v>2</v>
      </c>
    </row>
    <row r="74" spans="1:11" ht="15" thickBot="1" x14ac:dyDescent="0.35">
      <c r="A74" s="9"/>
      <c r="B74" s="10"/>
      <c r="C74" s="10"/>
      <c r="D74" s="11"/>
      <c r="E74" s="11"/>
      <c r="F74" s="12"/>
      <c r="G74" s="11"/>
    </row>
    <row r="75" spans="1:11" ht="15" thickTop="1" x14ac:dyDescent="0.3"/>
  </sheetData>
  <conditionalFormatting sqref="D2:F73">
    <cfRule type="cellIs" dxfId="0" priority="1" stopIfTrue="1" operator="equal">
      <formula>#REF!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F770BE-BE83-40DB-98A0-B86681F15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CENK CATALBAS</dc:creator>
  <cp:lastModifiedBy>CENK CATALBAS</cp:lastModifiedBy>
  <dcterms:created xsi:type="dcterms:W3CDTF">2015-06-05T18:17:20Z</dcterms:created>
  <dcterms:modified xsi:type="dcterms:W3CDTF">2026-06-13T09:07:28Z</dcterms:modified>
</cp:coreProperties>
</file>